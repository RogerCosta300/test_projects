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esource.000\Desktop\Estimativa de tempo para testes\"/>
    </mc:Choice>
  </mc:AlternateContent>
  <bookViews>
    <workbookView xWindow="0" yWindow="0" windowWidth="20490" windowHeight="7620"/>
  </bookViews>
  <sheets>
    <sheet name="ESTIMATIVA PARA TESTES" sheetId="1" r:id="rId1"/>
    <sheet name="Historico" sheetId="2" r:id="rId2"/>
  </sheets>
  <functionGroups builtInGroupCount="18"/>
  <definedNames>
    <definedName name="_xlnm._FilterDatabase" localSheetId="0" hidden="1">'ESTIMATIVA PARA TESTES'!$B$8:$B$23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9" i="1" l="1"/>
  <c r="H9" i="1" l="1"/>
  <c r="H10" i="1"/>
  <c r="H11" i="1"/>
  <c r="H12" i="1"/>
  <c r="C54" i="1" l="1"/>
  <c r="D54" i="1"/>
  <c r="E54" i="1"/>
  <c r="F54" i="1"/>
  <c r="G54" i="1"/>
  <c r="C55" i="1"/>
  <c r="D55" i="1"/>
  <c r="E55" i="1"/>
  <c r="F55" i="1"/>
  <c r="G55" i="1"/>
  <c r="C56" i="1"/>
  <c r="D56" i="1"/>
  <c r="E56" i="1"/>
  <c r="F56" i="1"/>
  <c r="G56" i="1"/>
  <c r="C57" i="1"/>
  <c r="D57" i="1"/>
  <c r="E57" i="1"/>
  <c r="F57" i="1"/>
  <c r="G57" i="1"/>
  <c r="C58" i="1"/>
  <c r="D58" i="1"/>
  <c r="E58" i="1"/>
  <c r="F58" i="1"/>
  <c r="G58" i="1"/>
  <c r="C59" i="1"/>
  <c r="D59" i="1"/>
  <c r="E59" i="1"/>
  <c r="F59" i="1"/>
  <c r="G59" i="1"/>
  <c r="C60" i="1"/>
  <c r="D60" i="1"/>
  <c r="E60" i="1"/>
  <c r="F60" i="1"/>
  <c r="G60" i="1"/>
  <c r="C61" i="1"/>
  <c r="D61" i="1"/>
  <c r="E61" i="1"/>
  <c r="F61" i="1"/>
  <c r="G61" i="1"/>
  <c r="C62" i="1"/>
  <c r="D62" i="1"/>
  <c r="E62" i="1"/>
  <c r="F62" i="1"/>
  <c r="G62" i="1"/>
  <c r="C63" i="1"/>
  <c r="D63" i="1"/>
  <c r="E63" i="1"/>
  <c r="F63" i="1"/>
  <c r="G63" i="1"/>
  <c r="C64" i="1"/>
  <c r="D64" i="1"/>
  <c r="E64" i="1"/>
  <c r="F64" i="1"/>
  <c r="G64" i="1"/>
  <c r="C65" i="1"/>
  <c r="D65" i="1"/>
  <c r="E65" i="1"/>
  <c r="F65" i="1"/>
  <c r="G65" i="1"/>
  <c r="C66" i="1"/>
  <c r="D66" i="1"/>
  <c r="E66" i="1"/>
  <c r="F66" i="1"/>
  <c r="G66" i="1"/>
  <c r="C67" i="1"/>
  <c r="D67" i="1"/>
  <c r="E67" i="1"/>
  <c r="F67" i="1"/>
  <c r="G67" i="1"/>
  <c r="C53" i="1"/>
  <c r="D53" i="1"/>
  <c r="E53" i="1"/>
  <c r="F53" i="1"/>
  <c r="G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53" i="1"/>
  <c r="Q23" i="1" l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9" i="1"/>
  <c r="H24" i="1" l="1"/>
  <c r="H68" i="1" s="1"/>
  <c r="H54" i="1"/>
  <c r="H55" i="1"/>
  <c r="H56" i="1"/>
  <c r="H13" i="1"/>
  <c r="H57" i="1" s="1"/>
  <c r="H14" i="1"/>
  <c r="H58" i="1" s="1"/>
  <c r="H15" i="1"/>
  <c r="H59" i="1" s="1"/>
  <c r="H16" i="1"/>
  <c r="H60" i="1" s="1"/>
  <c r="H17" i="1"/>
  <c r="H61" i="1" s="1"/>
  <c r="H18" i="1"/>
  <c r="H62" i="1" s="1"/>
  <c r="H19" i="1"/>
  <c r="H63" i="1" s="1"/>
  <c r="H20" i="1"/>
  <c r="H64" i="1" s="1"/>
  <c r="H21" i="1"/>
  <c r="H65" i="1" s="1"/>
  <c r="H22" i="1"/>
  <c r="H66" i="1" s="1"/>
  <c r="H23" i="1"/>
  <c r="H67" i="1" s="1"/>
  <c r="H53" i="1"/>
  <c r="K21" i="1" l="1"/>
  <c r="K22" i="1"/>
  <c r="K23" i="1"/>
</calcChain>
</file>

<file path=xl/comments1.xml><?xml version="1.0" encoding="utf-8"?>
<comments xmlns="http://schemas.openxmlformats.org/spreadsheetml/2006/main">
  <authors>
    <author>Usuário do Windows</author>
  </authors>
  <commentList>
    <comment ref="C7" authorId="0" shapeId="0">
      <text>
        <r>
          <rPr>
            <b/>
            <sz val="9"/>
            <color indexed="81"/>
            <rFont val="Segoe UI"/>
            <family val="2"/>
          </rPr>
          <t>Inserir tempo em horas</t>
        </r>
      </text>
    </comment>
    <comment ref="D7" authorId="0" shapeId="0">
      <text>
        <r>
          <rPr>
            <b/>
            <sz val="9"/>
            <color indexed="81"/>
            <rFont val="Segoe UI"/>
            <family val="2"/>
          </rPr>
          <t>Inserir tempo em horas</t>
        </r>
      </text>
    </comment>
    <comment ref="E7" authorId="0" shapeId="0">
      <text>
        <r>
          <rPr>
            <b/>
            <sz val="9"/>
            <color indexed="81"/>
            <rFont val="Segoe UI"/>
            <family val="2"/>
          </rPr>
          <t>Inserir tempo em horas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Segoe UI"/>
            <family val="2"/>
          </rPr>
          <t>Inserir tempo em horas</t>
        </r>
      </text>
    </comment>
    <comment ref="G7" authorId="0" shapeId="0">
      <text>
        <r>
          <rPr>
            <b/>
            <sz val="9"/>
            <color indexed="81"/>
            <rFont val="Segoe UI"/>
            <family val="2"/>
          </rPr>
          <t>Inserir tempo em horas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7" authorId="0" shapeId="0">
      <text>
        <r>
          <rPr>
            <b/>
            <sz val="9"/>
            <color indexed="81"/>
            <rFont val="Segoe UI"/>
            <family val="2"/>
          </rPr>
          <t>Inserir nome do projeto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52" authorId="0" shapeId="0">
      <text>
        <r>
          <rPr>
            <sz val="9"/>
            <color indexed="81"/>
            <rFont val="Segoe UI"/>
            <family val="2"/>
          </rPr>
          <t>- Inserir nome da funcionalidade/demanda;
- Filtro: Exibir total de tempo somente para opções selecionadas</t>
        </r>
      </text>
    </comment>
    <comment ref="C52" authorId="0" shapeId="0">
      <text>
        <r>
          <rPr>
            <b/>
            <sz val="9"/>
            <color indexed="81"/>
            <rFont val="Segoe UI"/>
            <family val="2"/>
          </rPr>
          <t>Inserir tempo em Horas</t>
        </r>
      </text>
    </comment>
    <comment ref="D52" authorId="0" shapeId="0">
      <text>
        <r>
          <rPr>
            <b/>
            <sz val="9"/>
            <color indexed="81"/>
            <rFont val="Segoe UI"/>
            <family val="2"/>
          </rPr>
          <t>Inserir tempo em Horas</t>
        </r>
      </text>
    </comment>
    <comment ref="E52" authorId="0" shapeId="0">
      <text>
        <r>
          <rPr>
            <b/>
            <sz val="9"/>
            <color indexed="81"/>
            <rFont val="Segoe UI"/>
            <family val="2"/>
          </rPr>
          <t>Inserir tempo em Horas</t>
        </r>
      </text>
    </comment>
    <comment ref="F52" authorId="0" shapeId="0">
      <text>
        <r>
          <rPr>
            <b/>
            <sz val="9"/>
            <color indexed="81"/>
            <rFont val="Segoe UI"/>
            <family val="2"/>
          </rPr>
          <t>Inserir tempo em Horas</t>
        </r>
      </text>
    </comment>
    <comment ref="G52" authorId="0" shapeId="0">
      <text>
        <r>
          <rPr>
            <b/>
            <sz val="9"/>
            <color indexed="81"/>
            <rFont val="Segoe UI"/>
            <family val="2"/>
          </rPr>
          <t>Inserir tempo em Horas</t>
        </r>
      </text>
    </comment>
  </commentList>
</comments>
</file>

<file path=xl/sharedStrings.xml><?xml version="1.0" encoding="utf-8"?>
<sst xmlns="http://schemas.openxmlformats.org/spreadsheetml/2006/main" count="31" uniqueCount="22">
  <si>
    <t>TOTAL GERAL</t>
  </si>
  <si>
    <t>EXECUÇÃO DE TESTES (Horas)</t>
  </si>
  <si>
    <t>TOTAL</t>
  </si>
  <si>
    <t>REGRESSÃO (Horas)</t>
  </si>
  <si>
    <t>RETESTE (Horas)</t>
  </si>
  <si>
    <t>DEMANDA</t>
  </si>
  <si>
    <t>ATIVIDADE</t>
  </si>
  <si>
    <t>ESTIMATIVA DE TEMPO PARA TESTES</t>
  </si>
  <si>
    <t>REPORTE DE FALHAS (Horas)</t>
  </si>
  <si>
    <t>Versão</t>
  </si>
  <si>
    <t>Data</t>
  </si>
  <si>
    <t>Descrição</t>
  </si>
  <si>
    <t>Autor</t>
  </si>
  <si>
    <t>1.0</t>
  </si>
  <si>
    <t>Roger Costa</t>
  </si>
  <si>
    <t>HISTÓRICO - ESTIMATIVA DE TEMPO PARA TESTES</t>
  </si>
  <si>
    <t>Relatório de estimativa de tempo para testes</t>
  </si>
  <si>
    <t>PROJETO</t>
  </si>
  <si>
    <t>OS/SPRINT</t>
  </si>
  <si>
    <t>ELABORAÇÃO CT's (Horas)</t>
  </si>
  <si>
    <t>PARA</t>
  </si>
  <si>
    <t>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</si>
</sst>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  <scheme val="minor"/>
    </font>
    <font>
      <sz val="11"/>
      <color rgb="FF1F497D"/>
      <name val="Calibri"/>
      <family val="2"/>
    </font>
    <font>
      <b/>
      <sz val="20"/>
      <color theme="8" tint="-0.249977111117893"/>
      <name val="Calibri"/>
      <family val="2"/>
      <scheme val="minor"/>
    </font>
    <font>
      <b/>
      <sz val="12"/>
      <color theme="0"/>
      <name val="Calibri"/>
      <family val="2"/>
    </font>
    <font>
      <b/>
      <sz val="10"/>
      <color theme="0"/>
      <name val="Calibri"/>
      <family val="2"/>
    </font>
    <font>
      <b/>
      <sz val="11"/>
      <color theme="0" tint="-4.9989318521683403E-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-0.249977111117893"/>
        <bgColor theme="4"/>
      </patternFill>
    </fill>
  </fills>
  <borders count="22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/>
      <diagonal/>
    </border>
    <border>
      <left/>
      <right/>
      <top style="medium">
        <color theme="8" tint="-0.499984740745262"/>
      </top>
      <bottom/>
      <diagonal/>
    </border>
    <border>
      <left/>
      <right style="medium">
        <color theme="8" tint="-0.499984740745262"/>
      </right>
      <top style="medium">
        <color theme="8" tint="-0.499984740745262"/>
      </top>
      <bottom/>
      <diagonal/>
    </border>
    <border>
      <left style="medium">
        <color theme="8" tint="-0.499984740745262"/>
      </left>
      <right/>
      <top/>
      <bottom/>
      <diagonal/>
    </border>
    <border>
      <left/>
      <right style="medium">
        <color theme="8" tint="-0.499984740745262"/>
      </right>
      <top/>
      <bottom/>
      <diagonal/>
    </border>
    <border>
      <left style="medium">
        <color theme="8" tint="-0.499984740745262"/>
      </left>
      <right/>
      <top/>
      <bottom style="medium">
        <color theme="8" tint="-0.499984740745262"/>
      </bottom>
      <diagonal/>
    </border>
    <border>
      <left/>
      <right/>
      <top/>
      <bottom style="medium">
        <color theme="8" tint="-0.499984740745262"/>
      </bottom>
      <diagonal/>
    </border>
    <border>
      <left/>
      <right style="medium">
        <color theme="8" tint="-0.499984740745262"/>
      </right>
      <top/>
      <bottom style="medium">
        <color theme="8" tint="-0.499984740745262"/>
      </bottom>
      <diagonal/>
    </border>
  </borders>
  <cellStyleXfs count="3">
    <xf numFmtId="0" fontId="0" fillId="0" borderId="0"/>
    <xf numFmtId="0" fontId="4" fillId="7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1" xfId="0" applyBorder="1"/>
    <xf numFmtId="0" fontId="4" fillId="0" borderId="1" xfId="0" applyFont="1" applyBorder="1"/>
    <xf numFmtId="0" fontId="5" fillId="0" borderId="1" xfId="0" applyFont="1" applyBorder="1" applyAlignment="1">
      <alignment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4" fillId="0" borderId="4" xfId="0" applyFont="1" applyBorder="1"/>
    <xf numFmtId="0" fontId="0" fillId="0" borderId="11" xfId="0" applyBorder="1"/>
    <xf numFmtId="0" fontId="0" fillId="0" borderId="12" xfId="0" applyBorder="1"/>
    <xf numFmtId="164" fontId="10" fillId="0" borderId="0" xfId="0" applyNumberFormat="1" applyFont="1" applyBorder="1" applyAlignment="1">
      <alignment horizontal="center" vertical="center"/>
    </xf>
    <xf numFmtId="14" fontId="10" fillId="0" borderId="0" xfId="0" applyNumberFormat="1" applyFont="1" applyBorder="1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/>
    </xf>
    <xf numFmtId="0" fontId="11" fillId="0" borderId="0" xfId="0" applyNumberFormat="1" applyFont="1" applyBorder="1" applyAlignment="1">
      <alignment horizontal="center" vertical="center"/>
    </xf>
    <xf numFmtId="164" fontId="10" fillId="9" borderId="0" xfId="0" applyNumberFormat="1" applyFont="1" applyFill="1" applyBorder="1" applyAlignment="1">
      <alignment horizontal="center" vertical="center"/>
    </xf>
    <xf numFmtId="14" fontId="10" fillId="9" borderId="0" xfId="0" applyNumberFormat="1" applyFont="1" applyFill="1" applyBorder="1" applyAlignment="1">
      <alignment horizontal="center" vertical="center"/>
    </xf>
    <xf numFmtId="0" fontId="10" fillId="9" borderId="0" xfId="0" applyNumberFormat="1" applyFont="1" applyFill="1" applyBorder="1" applyAlignment="1">
      <alignment horizontal="center" vertical="center"/>
    </xf>
    <xf numFmtId="0" fontId="9" fillId="10" borderId="0" xfId="0" applyNumberFormat="1" applyFont="1" applyFill="1" applyBorder="1" applyAlignment="1">
      <alignment horizontal="center"/>
    </xf>
    <xf numFmtId="0" fontId="0" fillId="0" borderId="13" xfId="0" applyBorder="1"/>
    <xf numFmtId="0" fontId="7" fillId="5" borderId="7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 applyProtection="1">
      <alignment vertical="top" wrapText="1"/>
      <protection locked="0"/>
    </xf>
    <xf numFmtId="0" fontId="2" fillId="3" borderId="1" xfId="0" applyNumberFormat="1" applyFont="1" applyFill="1" applyBorder="1" applyAlignment="1" applyProtection="1">
      <alignment vertical="top"/>
      <protection locked="0"/>
    </xf>
    <xf numFmtId="0" fontId="0" fillId="0" borderId="1" xfId="0" applyBorder="1" applyAlignment="1">
      <alignment vertical="top"/>
    </xf>
    <xf numFmtId="0" fontId="1" fillId="0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14" fillId="0" borderId="4" xfId="0" applyFont="1" applyFill="1" applyBorder="1" applyAlignment="1" applyProtection="1">
      <alignment horizontal="center" vertical="top" wrapText="1"/>
      <protection locked="0"/>
    </xf>
    <xf numFmtId="0" fontId="0" fillId="0" borderId="1" xfId="0" applyBorder="1" applyProtection="1"/>
    <xf numFmtId="0" fontId="3" fillId="5" borderId="5" xfId="0" applyFont="1" applyFill="1" applyBorder="1" applyAlignment="1" applyProtection="1">
      <alignment vertical="center" wrapText="1"/>
    </xf>
    <xf numFmtId="0" fontId="1" fillId="5" borderId="2" xfId="0" applyFont="1" applyFill="1" applyBorder="1" applyAlignment="1" applyProtection="1"/>
    <xf numFmtId="0" fontId="1" fillId="5" borderId="3" xfId="0" applyFont="1" applyFill="1" applyBorder="1" applyAlignment="1" applyProtection="1"/>
    <xf numFmtId="0" fontId="1" fillId="5" borderId="3" xfId="0" applyFont="1" applyFill="1" applyBorder="1" applyAlignment="1" applyProtection="1">
      <alignment horizontal="right"/>
    </xf>
    <xf numFmtId="0" fontId="1" fillId="5" borderId="4" xfId="0" applyFont="1" applyFill="1" applyBorder="1" applyAlignment="1" applyProtection="1"/>
    <xf numFmtId="0" fontId="7" fillId="5" borderId="7" xfId="0" applyFont="1" applyFill="1" applyBorder="1" applyAlignment="1" applyProtection="1">
      <alignment horizontal="center" vertical="top" wrapText="1"/>
    </xf>
    <xf numFmtId="0" fontId="8" fillId="5" borderId="1" xfId="0" applyFont="1" applyFill="1" applyBorder="1" applyAlignment="1" applyProtection="1">
      <alignment horizontal="center" vertical="center" wrapText="1"/>
    </xf>
    <xf numFmtId="0" fontId="14" fillId="6" borderId="1" xfId="0" applyFont="1" applyFill="1" applyBorder="1" applyAlignment="1" applyProtection="1">
      <alignment vertical="top" wrapText="1"/>
    </xf>
    <xf numFmtId="0" fontId="0" fillId="0" borderId="1" xfId="0" applyBorder="1" applyAlignment="1" applyProtection="1">
      <alignment vertical="top"/>
    </xf>
    <xf numFmtId="0" fontId="1" fillId="0" borderId="1" xfId="0" applyFont="1" applyFill="1" applyBorder="1" applyAlignment="1" applyProtection="1">
      <alignment horizontal="center" vertical="top"/>
    </xf>
    <xf numFmtId="0" fontId="1" fillId="2" borderId="1" xfId="0" applyFont="1" applyFill="1" applyBorder="1" applyAlignment="1" applyProtection="1">
      <alignment horizontal="center" vertical="top"/>
    </xf>
    <xf numFmtId="0" fontId="2" fillId="6" borderId="1" xfId="0" applyFont="1" applyFill="1" applyBorder="1" applyAlignment="1" applyProtection="1">
      <alignment vertical="top" wrapText="1"/>
    </xf>
    <xf numFmtId="0" fontId="0" fillId="0" borderId="0" xfId="0" applyBorder="1"/>
    <xf numFmtId="0" fontId="0" fillId="0" borderId="4" xfId="0" applyBorder="1"/>
    <xf numFmtId="0" fontId="14" fillId="3" borderId="1" xfId="0" applyNumberFormat="1" applyFont="1" applyFill="1" applyBorder="1" applyAlignment="1">
      <alignment horizontal="center" vertical="top"/>
    </xf>
    <xf numFmtId="164" fontId="14" fillId="4" borderId="1" xfId="0" applyNumberFormat="1" applyFont="1" applyFill="1" applyBorder="1" applyAlignment="1" applyProtection="1">
      <alignment horizontal="center" vertical="top"/>
    </xf>
    <xf numFmtId="164" fontId="14" fillId="4" borderId="1" xfId="0" applyNumberFormat="1" applyFont="1" applyFill="1" applyBorder="1" applyAlignment="1">
      <alignment horizontal="center" vertical="top"/>
    </xf>
    <xf numFmtId="0" fontId="14" fillId="6" borderId="1" xfId="0" applyFont="1" applyFill="1" applyBorder="1" applyAlignment="1" applyProtection="1">
      <alignment horizontal="center" vertical="center" wrapText="1"/>
    </xf>
    <xf numFmtId="0" fontId="7" fillId="5" borderId="7" xfId="0" applyFont="1" applyFill="1" applyBorder="1" applyAlignment="1">
      <alignment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15" fillId="6" borderId="2" xfId="2" applyFill="1" applyBorder="1" applyAlignment="1" applyProtection="1">
      <alignment horizontal="center" vertical="top" wrapText="1"/>
      <protection locked="0"/>
    </xf>
    <xf numFmtId="0" fontId="15" fillId="6" borderId="3" xfId="2" applyFill="1" applyBorder="1" applyAlignment="1" applyProtection="1">
      <alignment horizontal="center" vertical="top" wrapText="1"/>
      <protection locked="0"/>
    </xf>
    <xf numFmtId="0" fontId="15" fillId="6" borderId="4" xfId="2" applyFill="1" applyBorder="1" applyAlignment="1" applyProtection="1">
      <alignment horizontal="center" vertical="top" wrapText="1"/>
      <protection locked="0"/>
    </xf>
    <xf numFmtId="0" fontId="14" fillId="6" borderId="2" xfId="0" applyFont="1" applyFill="1" applyBorder="1" applyAlignment="1" applyProtection="1">
      <alignment horizontal="center" vertical="top" wrapText="1"/>
      <protection locked="0"/>
    </xf>
    <xf numFmtId="0" fontId="14" fillId="6" borderId="3" xfId="0" applyFont="1" applyFill="1" applyBorder="1" applyAlignment="1" applyProtection="1">
      <alignment horizontal="center" vertical="top" wrapText="1"/>
      <protection locked="0"/>
    </xf>
    <xf numFmtId="0" fontId="14" fillId="6" borderId="4" xfId="0" applyFont="1" applyFill="1" applyBorder="1" applyAlignment="1" applyProtection="1">
      <alignment horizontal="center" vertical="top" wrapText="1"/>
      <protection locked="0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left" wrapText="1"/>
    </xf>
    <xf numFmtId="0" fontId="0" fillId="0" borderId="3" xfId="0" applyBorder="1" applyAlignment="1" applyProtection="1">
      <alignment horizontal="left"/>
    </xf>
    <xf numFmtId="0" fontId="0" fillId="0" borderId="4" xfId="0" applyBorder="1" applyAlignment="1" applyProtection="1">
      <alignment horizontal="left"/>
    </xf>
    <xf numFmtId="0" fontId="3" fillId="5" borderId="1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 vertical="center" wrapText="1"/>
    </xf>
    <xf numFmtId="0" fontId="1" fillId="8" borderId="0" xfId="1" applyFont="1" applyFill="1" applyBorder="1" applyAlignment="1">
      <alignment horizontal="center"/>
    </xf>
  </cellXfs>
  <cellStyles count="3">
    <cellStyle name="Ênfase1" xfId="1" builtinId="29"/>
    <cellStyle name="Hiperlink" xfId="2" builtinId="8"/>
    <cellStyle name="Normal" xfId="0" builtinId="0"/>
  </cellStyles>
  <dxfs count="0"/>
  <tableStyles count="0" defaultTableStyle="TableStyleMedium2" defaultPivotStyle="PivotStyleLight16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31745</xdr:colOff>
      <xdr:row>0</xdr:row>
      <xdr:rowOff>95250</xdr:rowOff>
    </xdr:from>
    <xdr:to>
      <xdr:col>10</xdr:col>
      <xdr:colOff>95745</xdr:colOff>
      <xdr:row>2</xdr:row>
      <xdr:rowOff>99667</xdr:rowOff>
    </xdr:to>
    <xdr:sp macro="[0]!sendEmail" textlink="">
      <xdr:nvSpPr>
        <xdr:cNvPr id="4" name="Retângulo Arredondado 3"/>
        <xdr:cNvSpPr/>
      </xdr:nvSpPr>
      <xdr:spPr>
        <a:xfrm>
          <a:off x="8318495" y="95250"/>
          <a:ext cx="1080000" cy="396000"/>
        </a:xfrm>
        <a:prstGeom prst="roundRect">
          <a:avLst>
            <a:gd name="adj" fmla="val 25758"/>
          </a:avLst>
        </a:prstGeom>
        <a:solidFill>
          <a:schemeClr val="accent5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63500" h="63500"/>
          <a:bevelB w="0" h="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ENVIAR </a:t>
          </a:r>
          <a:r>
            <a:rPr lang="pt-BR" sz="1000" b="1" baseline="0"/>
            <a:t>E-MAIL</a:t>
          </a:r>
        </a:p>
      </xdr:txBody>
    </xdr:sp>
    <xdr:clientData/>
  </xdr:twoCellAnchor>
  <xdr:twoCellAnchor editAs="absolute">
    <xdr:from>
      <xdr:col>10</xdr:col>
      <xdr:colOff>184142</xdr:colOff>
      <xdr:row>0</xdr:row>
      <xdr:rowOff>88901</xdr:rowOff>
    </xdr:from>
    <xdr:to>
      <xdr:col>12</xdr:col>
      <xdr:colOff>36475</xdr:colOff>
      <xdr:row>2</xdr:row>
      <xdr:rowOff>93318</xdr:rowOff>
    </xdr:to>
    <xdr:sp macro="[0]!_xludf.copy" textlink="">
      <xdr:nvSpPr>
        <xdr:cNvPr id="3" name="Retângulo Arredondado 3"/>
        <xdr:cNvSpPr/>
      </xdr:nvSpPr>
      <xdr:spPr>
        <a:xfrm>
          <a:off x="9486892" y="88901"/>
          <a:ext cx="1080000" cy="396000"/>
        </a:xfrm>
        <a:prstGeom prst="roundRect">
          <a:avLst>
            <a:gd name="adj" fmla="val 25758"/>
          </a:avLst>
        </a:prstGeom>
        <a:solidFill>
          <a:schemeClr val="accent5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63500" h="63500"/>
          <a:bevelB w="0" h="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/>
            <a:t>COPIAR</a:t>
          </a:r>
        </a:p>
      </xdr:txBody>
    </xdr:sp>
    <xdr:clientData/>
  </xdr:twoCellAnchor>
  <xdr:twoCellAnchor editAs="absolute">
    <xdr:from>
      <xdr:col>12</xdr:col>
      <xdr:colOff>114297</xdr:colOff>
      <xdr:row>0</xdr:row>
      <xdr:rowOff>93134</xdr:rowOff>
    </xdr:from>
    <xdr:to>
      <xdr:col>13</xdr:col>
      <xdr:colOff>580464</xdr:colOff>
      <xdr:row>2</xdr:row>
      <xdr:rowOff>97551</xdr:rowOff>
    </xdr:to>
    <xdr:sp macro="[0]!limpar" textlink="">
      <xdr:nvSpPr>
        <xdr:cNvPr id="5" name="Retângulo Arredondado 3"/>
        <xdr:cNvSpPr/>
      </xdr:nvSpPr>
      <xdr:spPr>
        <a:xfrm>
          <a:off x="10644714" y="93134"/>
          <a:ext cx="1080000" cy="396000"/>
        </a:xfrm>
        <a:prstGeom prst="roundRect">
          <a:avLst>
            <a:gd name="adj" fmla="val 25758"/>
          </a:avLst>
        </a:prstGeom>
        <a:solidFill>
          <a:schemeClr val="accent5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63500" h="63500"/>
          <a:bevelB w="0" h="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/>
            <a:t>LIMPAR DADOS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5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a:spPr>
      <a:bodyPr vertOverflow="clip" horzOverflow="clip" rtlCol="0" anchor="ctr"/>
      <a:lstStyle>
        <a:defPPr algn="ctr">
          <a:defRPr sz="1200" b="1"/>
        </a:defPPr>
      </a:lstStyle>
      <a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8" tint="-0.249977111117893"/>
  </sheetPr>
  <dimension ref="A1:Q68"/>
  <sheetViews>
    <sheetView showGridLines="0" showRowColHeaders="0" tabSelected="1" zoomScale="90" zoomScaleNormal="90" workbookViewId="0">
      <selection activeCell="K8" sqref="K8:N8"/>
    </sheetView>
  </sheetViews>
  <sheetFormatPr defaultRowHeight="15.75" thickBottom="1" x14ac:dyDescent="0.3"/>
  <cols>
    <col min="1" max="1" width="9.140625" style="1"/>
    <col min="2" max="2" width="34.7109375" style="1" customWidth="1"/>
    <col min="3" max="6" width="12" style="1" customWidth="1"/>
    <col min="7" max="7" width="13.28515625" style="1" customWidth="1"/>
    <col min="8" max="8" width="12.42578125" style="1" customWidth="1"/>
    <col min="9" max="9" width="6.28515625" style="2" customWidth="1"/>
    <col min="10" max="10" width="15.28515625" style="1" customWidth="1"/>
    <col min="11" max="11" width="9.140625" style="1" customWidth="1"/>
    <col min="12" max="16384" width="9.140625" style="1"/>
  </cols>
  <sheetData>
    <row r="1" spans="1:17" ht="15.75" customHeight="1" thickBot="1" x14ac:dyDescent="0.3">
      <c r="A1" s="7"/>
      <c r="B1" s="4"/>
      <c r="C1" s="11"/>
      <c r="D1" s="12"/>
      <c r="E1" s="11"/>
      <c r="F1" s="4"/>
      <c r="G1" s="4"/>
      <c r="H1" s="4"/>
    </row>
    <row r="2" spans="1:17" ht="15" customHeight="1" thickBot="1" x14ac:dyDescent="0.3">
      <c r="A2" s="8"/>
      <c r="B2" s="49" t="s">
        <v>7</v>
      </c>
      <c r="C2" s="50"/>
      <c r="D2" s="50"/>
      <c r="E2" s="50"/>
      <c r="F2" s="50"/>
      <c r="G2" s="50"/>
      <c r="H2" s="51"/>
      <c r="I2" s="10"/>
    </row>
    <row r="3" spans="1:17" ht="15" customHeight="1" thickBot="1" x14ac:dyDescent="0.3">
      <c r="A3" s="42"/>
      <c r="B3" s="52"/>
      <c r="C3" s="53"/>
      <c r="D3" s="53"/>
      <c r="E3" s="53"/>
      <c r="F3" s="53"/>
      <c r="G3" s="53"/>
      <c r="H3" s="54"/>
      <c r="I3" s="10"/>
      <c r="N3" s="43"/>
    </row>
    <row r="4" spans="1:17" ht="15" customHeight="1" thickBot="1" x14ac:dyDescent="0.3">
      <c r="A4" s="42"/>
      <c r="B4" s="55"/>
      <c r="C4" s="56"/>
      <c r="D4" s="56"/>
      <c r="E4" s="56"/>
      <c r="F4" s="56"/>
      <c r="G4" s="56"/>
      <c r="H4" s="57"/>
      <c r="I4" s="10"/>
      <c r="J4" s="22" t="s">
        <v>20</v>
      </c>
      <c r="K4" s="58"/>
      <c r="L4" s="59"/>
      <c r="M4" s="59"/>
      <c r="N4" s="60"/>
    </row>
    <row r="5" spans="1:17" ht="15.75" customHeight="1" thickBot="1" x14ac:dyDescent="0.3">
      <c r="A5" s="6"/>
      <c r="B5" s="5"/>
      <c r="C5" s="6"/>
      <c r="D5" s="9"/>
      <c r="E5" s="21"/>
      <c r="F5" s="6"/>
      <c r="G5" s="6"/>
      <c r="H5" s="6"/>
      <c r="J5" s="22" t="s">
        <v>21</v>
      </c>
      <c r="K5" s="58"/>
      <c r="L5" s="59"/>
      <c r="M5" s="59"/>
      <c r="N5" s="60"/>
    </row>
    <row r="6" spans="1:17" ht="16.5" customHeight="1" thickBot="1" x14ac:dyDescent="0.3">
      <c r="B6" s="67" t="s">
        <v>5</v>
      </c>
      <c r="C6" s="64" t="s">
        <v>6</v>
      </c>
      <c r="D6" s="65"/>
      <c r="E6" s="65"/>
      <c r="F6" s="65"/>
      <c r="G6" s="66"/>
      <c r="H6" s="73" t="s">
        <v>2</v>
      </c>
      <c r="N6" s="28"/>
    </row>
    <row r="7" spans="1:17" ht="15.75" customHeight="1" thickBot="1" x14ac:dyDescent="0.3">
      <c r="B7" s="68"/>
      <c r="C7" s="74" t="s">
        <v>19</v>
      </c>
      <c r="D7" s="74" t="s">
        <v>1</v>
      </c>
      <c r="E7" s="74" t="s">
        <v>8</v>
      </c>
      <c r="F7" s="74" t="s">
        <v>4</v>
      </c>
      <c r="G7" s="74" t="s">
        <v>3</v>
      </c>
      <c r="H7" s="73"/>
      <c r="J7" s="22" t="s">
        <v>17</v>
      </c>
      <c r="K7" s="61"/>
      <c r="L7" s="62"/>
      <c r="M7" s="62"/>
      <c r="N7" s="63"/>
    </row>
    <row r="8" spans="1:17" ht="15" customHeight="1" thickBot="1" x14ac:dyDescent="0.3">
      <c r="B8" s="48"/>
      <c r="C8" s="75"/>
      <c r="D8" s="75"/>
      <c r="E8" s="75"/>
      <c r="F8" s="75"/>
      <c r="G8" s="75"/>
      <c r="H8" s="73"/>
      <c r="J8" s="22" t="s">
        <v>18</v>
      </c>
      <c r="K8" s="61"/>
      <c r="L8" s="62"/>
      <c r="M8" s="62"/>
      <c r="N8" s="63"/>
    </row>
    <row r="9" spans="1:17" ht="15.95" customHeight="1" thickBot="1" x14ac:dyDescent="0.3">
      <c r="B9" s="23"/>
      <c r="C9" s="24"/>
      <c r="D9" s="24"/>
      <c r="E9" s="24"/>
      <c r="F9" s="24"/>
      <c r="G9" s="24"/>
      <c r="H9" s="44" t="str">
        <f t="shared" ref="H9:H11" si="0">IF(SUM(C9:G9)=0," ",
IF(SUM(C9:G9)&lt;8,
IF(SUM(C9:G9)&lt;=1,CONCATENATE(SUM(C9:G9)," ","Hora"),CONCATENATE(SUM(C9:G9)," ","Horas")),
IF(SUM(C9:G9)&lt;=8,CONCATENATE(SUM(C9:G9)/8," ","Dia"),CONCATENATE(SUM(C9:G9)/8," ","Dias"))))</f>
        <v xml:space="preserve"> </v>
      </c>
      <c r="Q9" s="2">
        <f>SUM(C9:G9)</f>
        <v>0</v>
      </c>
    </row>
    <row r="10" spans="1:17" ht="15.95" customHeight="1" thickBot="1" x14ac:dyDescent="0.3">
      <c r="B10" s="23"/>
      <c r="C10" s="24"/>
      <c r="D10" s="24"/>
      <c r="E10" s="24"/>
      <c r="F10" s="24"/>
      <c r="G10" s="24"/>
      <c r="H10" s="44" t="str">
        <f t="shared" si="0"/>
        <v xml:space="preserve"> </v>
      </c>
      <c r="Q10" s="2">
        <f t="shared" ref="Q10:Q23" si="1">SUM(C10:G10)</f>
        <v>0</v>
      </c>
    </row>
    <row r="11" spans="1:17" ht="15.95" customHeight="1" thickBot="1" x14ac:dyDescent="0.3">
      <c r="B11" s="23"/>
      <c r="C11" s="24"/>
      <c r="D11" s="24"/>
      <c r="E11" s="24"/>
      <c r="F11" s="24"/>
      <c r="G11" s="24"/>
      <c r="H11" s="44" t="str">
        <f t="shared" si="0"/>
        <v xml:space="preserve"> </v>
      </c>
      <c r="J11" s="3"/>
      <c r="K11" s="2"/>
      <c r="Q11" s="2">
        <f t="shared" si="1"/>
        <v>0</v>
      </c>
    </row>
    <row r="12" spans="1:17" ht="15.95" customHeight="1" thickBot="1" x14ac:dyDescent="0.3">
      <c r="B12" s="23"/>
      <c r="C12" s="24"/>
      <c r="D12" s="24"/>
      <c r="E12" s="24"/>
      <c r="F12" s="24"/>
      <c r="G12" s="24"/>
      <c r="H12" s="44" t="str">
        <f>IF(SUM(C12:G12)=0," ",
IF(SUM(C12:G12)&lt;8,
IF(SUM(C12:G12)&lt;=1,CONCATENATE(SUM(C12:G12)," ","Hora"),CONCATENATE(SUM(C12:G12)," ","Horas")),
IF(SUM(C12:G12)&lt;=8,CONCATENATE(SUM(C12:G12)/8," ","Dia"),CONCATENATE(SUM(C12:G12)/8," ","Dias"))))</f>
        <v xml:space="preserve"> </v>
      </c>
      <c r="Q12" s="2">
        <f t="shared" si="1"/>
        <v>0</v>
      </c>
    </row>
    <row r="13" spans="1:17" ht="15.95" customHeight="1" thickBot="1" x14ac:dyDescent="0.3">
      <c r="B13" s="23"/>
      <c r="C13" s="24"/>
      <c r="D13" s="24"/>
      <c r="E13" s="24"/>
      <c r="F13" s="24"/>
      <c r="G13" s="24"/>
      <c r="H13" s="44" t="str">
        <f t="shared" ref="H13:H23" si="2">IF(SUM(C13:G13)=0," ",
IF(SUM(C13:G13)&lt;8,
IF(SUM(C13:G13)&lt;=1,CONCATENATE(SUM(C13:G13)," ","Hora"),CONCATENATE(SUM(C13:G13)," ","Horas")),
IF(SUM(C13:G13)&lt;=8,CONCATENATE(SUM(C13:G13)/8," ","Dia"),CONCATENATE(SUM(C13:G13)/8," ","Dias"))))</f>
        <v xml:space="preserve"> </v>
      </c>
      <c r="Q13" s="2">
        <f t="shared" si="1"/>
        <v>0</v>
      </c>
    </row>
    <row r="14" spans="1:17" ht="15.95" customHeight="1" thickBot="1" x14ac:dyDescent="0.3">
      <c r="B14" s="23"/>
      <c r="C14" s="24"/>
      <c r="D14" s="24"/>
      <c r="E14" s="24"/>
      <c r="F14" s="24"/>
      <c r="G14" s="24"/>
      <c r="H14" s="44" t="str">
        <f t="shared" si="2"/>
        <v xml:space="preserve"> </v>
      </c>
      <c r="Q14" s="2">
        <f t="shared" si="1"/>
        <v>0</v>
      </c>
    </row>
    <row r="15" spans="1:17" ht="15.95" customHeight="1" thickBot="1" x14ac:dyDescent="0.3">
      <c r="B15" s="23"/>
      <c r="C15" s="24"/>
      <c r="D15" s="24"/>
      <c r="E15" s="24"/>
      <c r="F15" s="24"/>
      <c r="G15" s="24"/>
      <c r="H15" s="44" t="str">
        <f t="shared" si="2"/>
        <v xml:space="preserve"> </v>
      </c>
      <c r="Q15" s="2">
        <f t="shared" si="1"/>
        <v>0</v>
      </c>
    </row>
    <row r="16" spans="1:17" ht="15.95" customHeight="1" thickBot="1" x14ac:dyDescent="0.3">
      <c r="B16" s="23"/>
      <c r="C16" s="24"/>
      <c r="D16" s="24"/>
      <c r="E16" s="24"/>
      <c r="F16" s="24"/>
      <c r="G16" s="24"/>
      <c r="H16" s="44" t="str">
        <f t="shared" si="2"/>
        <v xml:space="preserve"> </v>
      </c>
      <c r="Q16" s="2">
        <f t="shared" si="1"/>
        <v>0</v>
      </c>
    </row>
    <row r="17" spans="2:17" ht="15.95" customHeight="1" thickBot="1" x14ac:dyDescent="0.3">
      <c r="B17" s="23"/>
      <c r="C17" s="24"/>
      <c r="D17" s="24"/>
      <c r="E17" s="24"/>
      <c r="F17" s="24"/>
      <c r="G17" s="24"/>
      <c r="H17" s="44" t="str">
        <f t="shared" si="2"/>
        <v xml:space="preserve"> </v>
      </c>
      <c r="Q17" s="2">
        <f t="shared" si="1"/>
        <v>0</v>
      </c>
    </row>
    <row r="18" spans="2:17" ht="15.95" customHeight="1" thickBot="1" x14ac:dyDescent="0.3">
      <c r="B18" s="23"/>
      <c r="C18" s="24"/>
      <c r="D18" s="24"/>
      <c r="E18" s="24"/>
      <c r="F18" s="24"/>
      <c r="G18" s="24"/>
      <c r="H18" s="44" t="str">
        <f t="shared" si="2"/>
        <v xml:space="preserve"> </v>
      </c>
      <c r="Q18" s="2">
        <f t="shared" si="1"/>
        <v>0</v>
      </c>
    </row>
    <row r="19" spans="2:17" ht="15.95" customHeight="1" thickBot="1" x14ac:dyDescent="0.3">
      <c r="B19" s="23"/>
      <c r="C19" s="24"/>
      <c r="D19" s="24"/>
      <c r="E19" s="24"/>
      <c r="F19" s="24"/>
      <c r="G19" s="24"/>
      <c r="H19" s="44" t="str">
        <f t="shared" si="2"/>
        <v xml:space="preserve"> </v>
      </c>
      <c r="Q19" s="2">
        <f t="shared" si="1"/>
        <v>0</v>
      </c>
    </row>
    <row r="20" spans="2:17" ht="15.95" customHeight="1" thickBot="1" x14ac:dyDescent="0.3">
      <c r="B20" s="23"/>
      <c r="C20" s="24"/>
      <c r="D20" s="24"/>
      <c r="E20" s="24"/>
      <c r="F20" s="24"/>
      <c r="G20" s="24"/>
      <c r="H20" s="44" t="str">
        <f t="shared" si="2"/>
        <v xml:space="preserve"> </v>
      </c>
      <c r="Q20" s="2">
        <f t="shared" si="1"/>
        <v>0</v>
      </c>
    </row>
    <row r="21" spans="2:17" ht="15.95" customHeight="1" thickBot="1" x14ac:dyDescent="0.3">
      <c r="B21" s="23"/>
      <c r="C21" s="24"/>
      <c r="D21" s="24"/>
      <c r="E21" s="24"/>
      <c r="F21" s="24"/>
      <c r="G21" s="24"/>
      <c r="H21" s="44" t="str">
        <f t="shared" si="2"/>
        <v xml:space="preserve"> </v>
      </c>
      <c r="J21" s="3"/>
      <c r="K21" s="2">
        <f t="shared" ref="K21:K23" si="3">SUM(C21:G21)</f>
        <v>0</v>
      </c>
      <c r="Q21" s="2">
        <f t="shared" si="1"/>
        <v>0</v>
      </c>
    </row>
    <row r="22" spans="2:17" ht="15.95" customHeight="1" thickBot="1" x14ac:dyDescent="0.3">
      <c r="B22" s="23"/>
      <c r="C22" s="24"/>
      <c r="D22" s="24"/>
      <c r="E22" s="24"/>
      <c r="F22" s="24"/>
      <c r="G22" s="24"/>
      <c r="H22" s="44" t="str">
        <f t="shared" si="2"/>
        <v xml:space="preserve"> </v>
      </c>
      <c r="K22" s="2">
        <f t="shared" si="3"/>
        <v>0</v>
      </c>
      <c r="Q22" s="2">
        <f t="shared" si="1"/>
        <v>0</v>
      </c>
    </row>
    <row r="23" spans="2:17" ht="15.95" customHeight="1" thickBot="1" x14ac:dyDescent="0.3">
      <c r="B23" s="23"/>
      <c r="C23" s="24"/>
      <c r="D23" s="24"/>
      <c r="E23" s="24"/>
      <c r="F23" s="24"/>
      <c r="G23" s="24"/>
      <c r="H23" s="44" t="str">
        <f t="shared" si="2"/>
        <v xml:space="preserve"> </v>
      </c>
      <c r="K23" s="2">
        <f t="shared" si="3"/>
        <v>0</v>
      </c>
      <c r="Q23" s="2">
        <f t="shared" si="1"/>
        <v>0</v>
      </c>
    </row>
    <row r="24" spans="2:17" ht="15.95" customHeight="1" thickBot="1" x14ac:dyDescent="0.3">
      <c r="B24" s="25"/>
      <c r="C24" s="25"/>
      <c r="D24" s="25"/>
      <c r="E24" s="26"/>
      <c r="F24" s="26"/>
      <c r="G24" s="27" t="s">
        <v>0</v>
      </c>
      <c r="H24" s="46" t="str">
        <f>IF(SUBTOTAL(9,Q9:Q23)=0," ",
CONCATENATE(IF(SUBTOTAL(9,Q9:Q23)&lt;8,TEXT(SUBTOTAL(9,Q9:Q23),"0,0"),TEXT(SUBTOTAL(9,Q9:Q23)/8,"0,0"))," ",IF(SUBTOTAL(9,Q9:Q23)&gt;=8,
IF(SUBTOTAL(9,Q9:Q23)&lt;=8,"dia","dias"),
IF(SUBTOTAL(9,Q9:Q23)&lt;=1,"hora","horas"))))</f>
        <v xml:space="preserve"> </v>
      </c>
    </row>
    <row r="47" spans="2:8" thickBot="1" x14ac:dyDescent="0.3">
      <c r="B47" s="29"/>
      <c r="C47" s="29"/>
      <c r="D47" s="29"/>
      <c r="E47" s="29"/>
      <c r="F47" s="29"/>
      <c r="G47" s="29"/>
      <c r="H47" s="29"/>
    </row>
    <row r="48" spans="2:8" thickBot="1" x14ac:dyDescent="0.3">
      <c r="B48" s="29"/>
      <c r="C48" s="29"/>
      <c r="D48" s="29"/>
      <c r="E48" s="29"/>
      <c r="F48" s="29"/>
      <c r="G48" s="29"/>
      <c r="H48" s="29"/>
    </row>
    <row r="49" spans="2:8" thickBot="1" x14ac:dyDescent="0.3">
      <c r="B49" s="70" t="str">
        <f>CONCATENATE("Segue a estimativa de tempo para o processo de teste do projeto ",K7," - ", K8)</f>
        <v xml:space="preserve">Segue a estimativa de tempo para o processo de teste do projeto  - </v>
      </c>
      <c r="C49" s="71"/>
      <c r="D49" s="71"/>
      <c r="E49" s="71"/>
      <c r="F49" s="71"/>
      <c r="G49" s="71"/>
      <c r="H49" s="72"/>
    </row>
    <row r="50" spans="2:8" thickBot="1" x14ac:dyDescent="0.3">
      <c r="B50" s="29"/>
      <c r="C50" s="29"/>
      <c r="D50" s="29"/>
      <c r="E50" s="29"/>
      <c r="F50" s="29"/>
      <c r="G50" s="29"/>
      <c r="H50" s="29"/>
    </row>
    <row r="51" spans="2:8" thickBot="1" x14ac:dyDescent="0.3">
      <c r="B51" s="30"/>
      <c r="C51" s="31"/>
      <c r="D51" s="32"/>
      <c r="E51" s="33" t="s">
        <v>6</v>
      </c>
      <c r="F51" s="32"/>
      <c r="G51" s="34"/>
      <c r="H51" s="69" t="s">
        <v>2</v>
      </c>
    </row>
    <row r="52" spans="2:8" ht="39" thickBot="1" x14ac:dyDescent="0.3">
      <c r="B52" s="35" t="s">
        <v>5</v>
      </c>
      <c r="C52" s="36" t="s">
        <v>19</v>
      </c>
      <c r="D52" s="36" t="s">
        <v>1</v>
      </c>
      <c r="E52" s="36" t="s">
        <v>8</v>
      </c>
      <c r="F52" s="36" t="s">
        <v>4</v>
      </c>
      <c r="G52" s="36" t="s">
        <v>3</v>
      </c>
      <c r="H52" s="69"/>
    </row>
    <row r="53" spans="2:8" hidden="1" thickBot="1" x14ac:dyDescent="0.3">
      <c r="B53" s="37">
        <f>B9</f>
        <v>0</v>
      </c>
      <c r="C53" s="41">
        <f t="shared" ref="C53:H53" si="4">C9</f>
        <v>0</v>
      </c>
      <c r="D53" s="41">
        <f t="shared" si="4"/>
        <v>0</v>
      </c>
      <c r="E53" s="41">
        <f t="shared" si="4"/>
        <v>0</v>
      </c>
      <c r="F53" s="41">
        <f t="shared" si="4"/>
        <v>0</v>
      </c>
      <c r="G53" s="41">
        <f t="shared" si="4"/>
        <v>0</v>
      </c>
      <c r="H53" s="47" t="str">
        <f t="shared" si="4"/>
        <v xml:space="preserve"> </v>
      </c>
    </row>
    <row r="54" spans="2:8" hidden="1" thickBot="1" x14ac:dyDescent="0.3">
      <c r="B54" s="37">
        <f t="shared" ref="B54:H67" si="5">B10</f>
        <v>0</v>
      </c>
      <c r="C54" s="41">
        <f t="shared" si="5"/>
        <v>0</v>
      </c>
      <c r="D54" s="41">
        <f t="shared" si="5"/>
        <v>0</v>
      </c>
      <c r="E54" s="41">
        <f t="shared" si="5"/>
        <v>0</v>
      </c>
      <c r="F54" s="41">
        <f t="shared" si="5"/>
        <v>0</v>
      </c>
      <c r="G54" s="41">
        <f t="shared" si="5"/>
        <v>0</v>
      </c>
      <c r="H54" s="47" t="str">
        <f t="shared" si="5"/>
        <v xml:space="preserve"> </v>
      </c>
    </row>
    <row r="55" spans="2:8" hidden="1" thickBot="1" x14ac:dyDescent="0.3">
      <c r="B55" s="37">
        <f t="shared" si="5"/>
        <v>0</v>
      </c>
      <c r="C55" s="41">
        <f t="shared" si="5"/>
        <v>0</v>
      </c>
      <c r="D55" s="41">
        <f t="shared" si="5"/>
        <v>0</v>
      </c>
      <c r="E55" s="41">
        <f t="shared" si="5"/>
        <v>0</v>
      </c>
      <c r="F55" s="41">
        <f t="shared" si="5"/>
        <v>0</v>
      </c>
      <c r="G55" s="41">
        <f t="shared" si="5"/>
        <v>0</v>
      </c>
      <c r="H55" s="47" t="str">
        <f t="shared" si="5"/>
        <v xml:space="preserve"> </v>
      </c>
    </row>
    <row r="56" spans="2:8" hidden="1" thickBot="1" x14ac:dyDescent="0.3">
      <c r="B56" s="37">
        <f t="shared" si="5"/>
        <v>0</v>
      </c>
      <c r="C56" s="41">
        <f t="shared" si="5"/>
        <v>0</v>
      </c>
      <c r="D56" s="41">
        <f t="shared" si="5"/>
        <v>0</v>
      </c>
      <c r="E56" s="41">
        <f t="shared" si="5"/>
        <v>0</v>
      </c>
      <c r="F56" s="41">
        <f t="shared" si="5"/>
        <v>0</v>
      </c>
      <c r="G56" s="41">
        <f t="shared" si="5"/>
        <v>0</v>
      </c>
      <c r="H56" s="47" t="str">
        <f t="shared" si="5"/>
        <v xml:space="preserve"> </v>
      </c>
    </row>
    <row r="57" spans="2:8" hidden="1" thickBot="1" x14ac:dyDescent="0.3">
      <c r="B57" s="37">
        <f t="shared" si="5"/>
        <v>0</v>
      </c>
      <c r="C57" s="41">
        <f t="shared" si="5"/>
        <v>0</v>
      </c>
      <c r="D57" s="41">
        <f t="shared" si="5"/>
        <v>0</v>
      </c>
      <c r="E57" s="41">
        <f t="shared" si="5"/>
        <v>0</v>
      </c>
      <c r="F57" s="41">
        <f t="shared" si="5"/>
        <v>0</v>
      </c>
      <c r="G57" s="41">
        <f t="shared" si="5"/>
        <v>0</v>
      </c>
      <c r="H57" s="47" t="str">
        <f t="shared" si="5"/>
        <v xml:space="preserve"> </v>
      </c>
    </row>
    <row r="58" spans="2:8" hidden="1" thickBot="1" x14ac:dyDescent="0.3">
      <c r="B58" s="37">
        <f t="shared" si="5"/>
        <v>0</v>
      </c>
      <c r="C58" s="41">
        <f t="shared" si="5"/>
        <v>0</v>
      </c>
      <c r="D58" s="41">
        <f t="shared" si="5"/>
        <v>0</v>
      </c>
      <c r="E58" s="41">
        <f t="shared" si="5"/>
        <v>0</v>
      </c>
      <c r="F58" s="41">
        <f t="shared" si="5"/>
        <v>0</v>
      </c>
      <c r="G58" s="41">
        <f t="shared" si="5"/>
        <v>0</v>
      </c>
      <c r="H58" s="47" t="str">
        <f t="shared" si="5"/>
        <v xml:space="preserve"> </v>
      </c>
    </row>
    <row r="59" spans="2:8" hidden="1" thickBot="1" x14ac:dyDescent="0.3">
      <c r="B59" s="37">
        <f t="shared" si="5"/>
        <v>0</v>
      </c>
      <c r="C59" s="41">
        <f t="shared" si="5"/>
        <v>0</v>
      </c>
      <c r="D59" s="41">
        <f t="shared" si="5"/>
        <v>0</v>
      </c>
      <c r="E59" s="41">
        <f t="shared" si="5"/>
        <v>0</v>
      </c>
      <c r="F59" s="41">
        <f t="shared" si="5"/>
        <v>0</v>
      </c>
      <c r="G59" s="41">
        <f t="shared" si="5"/>
        <v>0</v>
      </c>
      <c r="H59" s="47" t="str">
        <f t="shared" si="5"/>
        <v xml:space="preserve"> </v>
      </c>
    </row>
    <row r="60" spans="2:8" hidden="1" thickBot="1" x14ac:dyDescent="0.3">
      <c r="B60" s="37">
        <f t="shared" si="5"/>
        <v>0</v>
      </c>
      <c r="C60" s="41">
        <f t="shared" si="5"/>
        <v>0</v>
      </c>
      <c r="D60" s="41">
        <f t="shared" si="5"/>
        <v>0</v>
      </c>
      <c r="E60" s="41">
        <f t="shared" si="5"/>
        <v>0</v>
      </c>
      <c r="F60" s="41">
        <f t="shared" si="5"/>
        <v>0</v>
      </c>
      <c r="G60" s="41">
        <f t="shared" si="5"/>
        <v>0</v>
      </c>
      <c r="H60" s="47" t="str">
        <f t="shared" si="5"/>
        <v xml:space="preserve"> </v>
      </c>
    </row>
    <row r="61" spans="2:8" hidden="1" thickBot="1" x14ac:dyDescent="0.3">
      <c r="B61" s="37">
        <f t="shared" si="5"/>
        <v>0</v>
      </c>
      <c r="C61" s="41">
        <f t="shared" si="5"/>
        <v>0</v>
      </c>
      <c r="D61" s="41">
        <f t="shared" si="5"/>
        <v>0</v>
      </c>
      <c r="E61" s="41">
        <f t="shared" si="5"/>
        <v>0</v>
      </c>
      <c r="F61" s="41">
        <f t="shared" si="5"/>
        <v>0</v>
      </c>
      <c r="G61" s="41">
        <f t="shared" si="5"/>
        <v>0</v>
      </c>
      <c r="H61" s="47" t="str">
        <f t="shared" si="5"/>
        <v xml:space="preserve"> </v>
      </c>
    </row>
    <row r="62" spans="2:8" hidden="1" thickBot="1" x14ac:dyDescent="0.3">
      <c r="B62" s="37">
        <f t="shared" si="5"/>
        <v>0</v>
      </c>
      <c r="C62" s="41">
        <f t="shared" si="5"/>
        <v>0</v>
      </c>
      <c r="D62" s="41">
        <f t="shared" si="5"/>
        <v>0</v>
      </c>
      <c r="E62" s="41">
        <f t="shared" si="5"/>
        <v>0</v>
      </c>
      <c r="F62" s="41">
        <f t="shared" si="5"/>
        <v>0</v>
      </c>
      <c r="G62" s="41">
        <f t="shared" si="5"/>
        <v>0</v>
      </c>
      <c r="H62" s="47" t="str">
        <f t="shared" si="5"/>
        <v xml:space="preserve"> </v>
      </c>
    </row>
    <row r="63" spans="2:8" hidden="1" thickBot="1" x14ac:dyDescent="0.3">
      <c r="B63" s="37">
        <f t="shared" si="5"/>
        <v>0</v>
      </c>
      <c r="C63" s="41">
        <f t="shared" si="5"/>
        <v>0</v>
      </c>
      <c r="D63" s="41">
        <f t="shared" si="5"/>
        <v>0</v>
      </c>
      <c r="E63" s="41">
        <f t="shared" si="5"/>
        <v>0</v>
      </c>
      <c r="F63" s="41">
        <f t="shared" si="5"/>
        <v>0</v>
      </c>
      <c r="G63" s="41">
        <f t="shared" si="5"/>
        <v>0</v>
      </c>
      <c r="H63" s="47" t="str">
        <f t="shared" si="5"/>
        <v xml:space="preserve"> </v>
      </c>
    </row>
    <row r="64" spans="2:8" hidden="1" thickBot="1" x14ac:dyDescent="0.3">
      <c r="B64" s="37">
        <f t="shared" si="5"/>
        <v>0</v>
      </c>
      <c r="C64" s="41">
        <f t="shared" si="5"/>
        <v>0</v>
      </c>
      <c r="D64" s="41">
        <f t="shared" si="5"/>
        <v>0</v>
      </c>
      <c r="E64" s="41">
        <f t="shared" si="5"/>
        <v>0</v>
      </c>
      <c r="F64" s="41">
        <f t="shared" si="5"/>
        <v>0</v>
      </c>
      <c r="G64" s="41">
        <f t="shared" si="5"/>
        <v>0</v>
      </c>
      <c r="H64" s="47" t="str">
        <f t="shared" si="5"/>
        <v xml:space="preserve"> </v>
      </c>
    </row>
    <row r="65" spans="2:8" hidden="1" thickBot="1" x14ac:dyDescent="0.3">
      <c r="B65" s="37">
        <f t="shared" si="5"/>
        <v>0</v>
      </c>
      <c r="C65" s="41">
        <f t="shared" si="5"/>
        <v>0</v>
      </c>
      <c r="D65" s="41">
        <f t="shared" si="5"/>
        <v>0</v>
      </c>
      <c r="E65" s="41">
        <f t="shared" si="5"/>
        <v>0</v>
      </c>
      <c r="F65" s="41">
        <f t="shared" si="5"/>
        <v>0</v>
      </c>
      <c r="G65" s="41">
        <f t="shared" si="5"/>
        <v>0</v>
      </c>
      <c r="H65" s="47" t="str">
        <f t="shared" si="5"/>
        <v xml:space="preserve"> </v>
      </c>
    </row>
    <row r="66" spans="2:8" hidden="1" thickBot="1" x14ac:dyDescent="0.3">
      <c r="B66" s="37">
        <f t="shared" si="5"/>
        <v>0</v>
      </c>
      <c r="C66" s="41">
        <f t="shared" si="5"/>
        <v>0</v>
      </c>
      <c r="D66" s="41">
        <f t="shared" si="5"/>
        <v>0</v>
      </c>
      <c r="E66" s="41">
        <f t="shared" si="5"/>
        <v>0</v>
      </c>
      <c r="F66" s="41">
        <f t="shared" si="5"/>
        <v>0</v>
      </c>
      <c r="G66" s="41">
        <f t="shared" si="5"/>
        <v>0</v>
      </c>
      <c r="H66" s="47" t="str">
        <f t="shared" si="5"/>
        <v xml:space="preserve"> </v>
      </c>
    </row>
    <row r="67" spans="2:8" hidden="1" thickBot="1" x14ac:dyDescent="0.3">
      <c r="B67" s="37">
        <f t="shared" si="5"/>
        <v>0</v>
      </c>
      <c r="C67" s="41">
        <f t="shared" si="5"/>
        <v>0</v>
      </c>
      <c r="D67" s="41">
        <f t="shared" si="5"/>
        <v>0</v>
      </c>
      <c r="E67" s="41">
        <f t="shared" si="5"/>
        <v>0</v>
      </c>
      <c r="F67" s="41">
        <f t="shared" si="5"/>
        <v>0</v>
      </c>
      <c r="G67" s="41">
        <f t="shared" si="5"/>
        <v>0</v>
      </c>
      <c r="H67" s="47" t="str">
        <f t="shared" si="5"/>
        <v xml:space="preserve"> </v>
      </c>
    </row>
    <row r="68" spans="2:8" thickBot="1" x14ac:dyDescent="0.3">
      <c r="B68" s="38"/>
      <c r="C68" s="38"/>
      <c r="D68" s="38"/>
      <c r="E68" s="39"/>
      <c r="F68" s="39"/>
      <c r="G68" s="40" t="s">
        <v>0</v>
      </c>
      <c r="H68" s="45" t="str">
        <f>H24</f>
        <v xml:space="preserve"> </v>
      </c>
    </row>
  </sheetData>
  <sheetProtection algorithmName="SHA-512" hashValue="mOYKnwJJkeSfGuab2+DCayI9ZKpiH5VH9qY70yes6WnzYDYFHVOvM+x2HEqZR2wA3hU8opzHmDBk7pPcKmv4Vg==" saltValue="MCgAIJUo6Gc55vGfjxbPcw==" spinCount="100000" sheet="1" objects="1" scenarios="1" selectLockedCells="1" autoFilter="0"/>
  <autoFilter ref="B8:B23"/>
  <mergeCells count="15">
    <mergeCell ref="H51:H52"/>
    <mergeCell ref="B49:H49"/>
    <mergeCell ref="H6:H8"/>
    <mergeCell ref="C7:C8"/>
    <mergeCell ref="D7:D8"/>
    <mergeCell ref="E7:E8"/>
    <mergeCell ref="F7:F8"/>
    <mergeCell ref="G7:G8"/>
    <mergeCell ref="B2:H4"/>
    <mergeCell ref="K4:N4"/>
    <mergeCell ref="K5:N5"/>
    <mergeCell ref="K7:N7"/>
    <mergeCell ref="K8:N8"/>
    <mergeCell ref="C6:G6"/>
    <mergeCell ref="B6:B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D6:G13"/>
  <sheetViews>
    <sheetView showGridLines="0" workbookViewId="0">
      <selection activeCell="F47" sqref="F47"/>
    </sheetView>
  </sheetViews>
  <sheetFormatPr defaultRowHeight="15" x14ac:dyDescent="0.25"/>
  <cols>
    <col min="4" max="4" width="18.5703125" customWidth="1"/>
    <col min="5" max="5" width="13.42578125" customWidth="1"/>
    <col min="6" max="6" width="44.42578125" customWidth="1"/>
    <col min="7" max="7" width="23.42578125" customWidth="1"/>
  </cols>
  <sheetData>
    <row r="6" spans="4:7" x14ac:dyDescent="0.25">
      <c r="D6" s="76" t="s">
        <v>15</v>
      </c>
      <c r="E6" s="76"/>
      <c r="F6" s="76"/>
      <c r="G6" s="76"/>
    </row>
    <row r="7" spans="4:7" x14ac:dyDescent="0.25">
      <c r="D7" s="20" t="s">
        <v>9</v>
      </c>
      <c r="E7" s="20" t="s">
        <v>10</v>
      </c>
      <c r="F7" s="20" t="s">
        <v>11</v>
      </c>
      <c r="G7" s="20" t="s">
        <v>12</v>
      </c>
    </row>
    <row r="8" spans="4:7" x14ac:dyDescent="0.25">
      <c r="D8" s="13" t="s">
        <v>13</v>
      </c>
      <c r="E8" s="14">
        <v>43411</v>
      </c>
      <c r="F8" s="15" t="s">
        <v>16</v>
      </c>
      <c r="G8" s="16" t="s">
        <v>14</v>
      </c>
    </row>
    <row r="9" spans="4:7" x14ac:dyDescent="0.25">
      <c r="D9" s="17"/>
      <c r="E9" s="18"/>
      <c r="F9" s="18"/>
      <c r="G9" s="19"/>
    </row>
    <row r="10" spans="4:7" x14ac:dyDescent="0.25">
      <c r="D10" s="13"/>
      <c r="E10" s="14"/>
      <c r="F10" s="15"/>
      <c r="G10" s="16"/>
    </row>
    <row r="11" spans="4:7" x14ac:dyDescent="0.25">
      <c r="D11" s="17"/>
      <c r="E11" s="18"/>
      <c r="F11" s="18"/>
      <c r="G11" s="19"/>
    </row>
    <row r="12" spans="4:7" x14ac:dyDescent="0.25">
      <c r="D12" s="13"/>
      <c r="E12" s="14"/>
      <c r="F12" s="15"/>
      <c r="G12" s="16"/>
    </row>
    <row r="13" spans="4:7" x14ac:dyDescent="0.25">
      <c r="D13" s="17"/>
      <c r="E13" s="18"/>
      <c r="F13" s="18"/>
      <c r="G13" s="19"/>
    </row>
  </sheetData>
  <sheetProtection algorithmName="SHA-512" hashValue="krDHnswS9rJnj9rzlqzVBMbr8+UB+iJnh+3+0BkICAZdQldzjl9kKG5enUHZ1ZqJTB4KtKY89h/lSv4dj+60bw==" saltValue="DGPxhip92akRqyOOvXHpiQ==" spinCount="100000" sheet="1" objects="1" scenarios="1" selectLockedCells="1"/>
  <mergeCells count="1">
    <mergeCell ref="D6:G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ESTIMATIVA PARA TESTES</vt:lpstr>
      <vt:lpstr>Historico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cp:lastPrinted>2018-11-14T20:55:39Z</cp:lastPrinted>
  <dcterms:created xsi:type="dcterms:W3CDTF">2018-11-01T18:52:46Z</dcterms:created>
  <dcterms:modified xsi:type="dcterms:W3CDTF">2018-11-27T12:45:51Z</dcterms:modified>
</cp:coreProperties>
</file>